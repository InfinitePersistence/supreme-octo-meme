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18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<sst xmlns="http://schemas.openxmlformats.org/spreadsheetml/2006/main" count="226" uniqueCount="59">
  <si>
    <t>OS04J10 Analog Gain table(1.0x~62x)</t>
  </si>
  <si>
    <t>OS04J10 Digit Gain table(1.0x~32x)</t>
  </si>
  <si>
    <t>exposure</t>
  </si>
  <si>
    <t>寄存器</t>
  </si>
  <si>
    <t>Again（DB）
STEP：1/16</t>
  </si>
  <si>
    <t>Dgain（DB）
STEP：1/64</t>
  </si>
  <si>
    <t>long gain</t>
  </si>
  <si>
    <t>P1:0x23</t>
  </si>
  <si>
    <t>P1:0x24</t>
  </si>
  <si>
    <t>P1:0x1F</t>
  </si>
  <si>
    <t>P1:0x20</t>
  </si>
  <si>
    <t>register</t>
  </si>
  <si>
    <t>value</t>
  </si>
  <si>
    <t>short gain</t>
  </si>
  <si>
    <t>P1:0xE6</t>
  </si>
  <si>
    <t>P1:0xE7</t>
  </si>
  <si>
    <t>P1:0xE4</t>
  </si>
  <si>
    <t>P1:0xE5</t>
  </si>
  <si>
    <t>0x00</t>
  </si>
  <si>
    <t>0x10</t>
  </si>
  <si>
    <t>0x40</t>
  </si>
  <si>
    <t>long</t>
  </si>
  <si>
    <t>P1:0x0e</t>
  </si>
  <si>
    <t>05</t>
  </si>
  <si>
    <t>0x20</t>
  </si>
  <si>
    <t>0x80</t>
  </si>
  <si>
    <t>P1:0x0f</t>
  </si>
  <si>
    <t>a0</t>
  </si>
  <si>
    <t>0x30</t>
  </si>
  <si>
    <t>0xC0</t>
  </si>
  <si>
    <t>short</t>
  </si>
  <si>
    <t>P1:0x1e</t>
  </si>
  <si>
    <t>00</t>
  </si>
  <si>
    <t>0x01</t>
  </si>
  <si>
    <t>P1:0x1f</t>
  </si>
  <si>
    <t>08</t>
  </si>
  <si>
    <t>0x50</t>
  </si>
  <si>
    <t>Min Digital Gain = 0x040(1xgain)</t>
  </si>
  <si>
    <t>Max Digital Gain = 0x7ff(32xgain)</t>
  </si>
  <si>
    <t>0x60</t>
  </si>
  <si>
    <t>Min Analog Gain = 0x010(1xgain)</t>
  </si>
  <si>
    <t>Max Analog Gain = 0x3e0(62xgain)</t>
  </si>
  <si>
    <t>0x70</t>
  </si>
  <si>
    <t>Min Exposure = 2line</t>
  </si>
  <si>
    <t>Max Exposure = VTS - delta_reg</t>
  </si>
  <si>
    <t>0x02</t>
  </si>
  <si>
    <r>
      <rPr>
        <sz val="11"/>
        <color theme="1"/>
        <rFont val="Arial"/>
        <charset val="134"/>
      </rPr>
      <t>HDR Mode</t>
    </r>
    <r>
      <rPr>
        <sz val="11"/>
        <color theme="1"/>
        <rFont val="宋体"/>
        <charset val="134"/>
      </rPr>
      <t>：</t>
    </r>
    <r>
      <rPr>
        <sz val="11"/>
        <color theme="1"/>
        <rFont val="Arial"/>
        <charset val="134"/>
      </rPr>
      <t>long Exposure + short Exposure = new Exposure</t>
    </r>
  </si>
  <si>
    <t>0x90</t>
  </si>
  <si>
    <t>0xA0</t>
  </si>
  <si>
    <t>0xB0</t>
  </si>
  <si>
    <t>0x03</t>
  </si>
  <si>
    <t>0xD0</t>
  </si>
  <si>
    <t>0xE0</t>
  </si>
  <si>
    <t>0xF0</t>
  </si>
  <si>
    <t>0x04</t>
  </si>
  <si>
    <t>0x05</t>
  </si>
  <si>
    <t>0x06</t>
  </si>
  <si>
    <t>0x07</t>
  </si>
  <si>
    <t>0xFF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</si>
</sst>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sz val="9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3" borderId="0" xfId="0" applyFont="1" applyFill="1" applyProtection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3" borderId="0" xfId="0" applyFont="1" applyFill="1" applyProtection="1"/>
    <xf numFmtId="0" fontId="0" fillId="0" borderId="1" xfId="0" applyBorder="1"/>
    <xf numFmtId="0" fontId="2" fillId="4" borderId="2" xfId="0" applyFont="1" applyFill="1" applyBorder="1" applyProtection="1"/>
    <xf numFmtId="0" fontId="2" fillId="4" borderId="1" xfId="0" applyFont="1" applyFill="1" applyBorder="1" applyProtection="1"/>
    <xf numFmtId="0" fontId="0" fillId="0" borderId="3" xfId="0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 applyProtection="1">
      <alignment horizontal="center" vertical="center"/>
    </xf>
    <xf numFmtId="49" fontId="2" fillId="3" borderId="1" xfId="0" applyNumberFormat="1" applyFont="1" applyFill="1" applyBorder="1" applyAlignment="1" applyProtection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0" xfId="0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tabSelected="1" topLeftCell="A39" workbookViewId="0">
      <selection activeCell="J45" sqref="J45"/>
    </sheetView>
  </sheetViews>
  <sheetFormatPr defaultColWidth="9" defaultRowHeight="14"/>
  <cols>
    <col min="2" max="2" width="14.125" customWidth="1"/>
    <col min="3" max="3" width="12.875" customWidth="1"/>
    <col min="4" max="4" width="18.625" customWidth="1"/>
    <col min="7" max="7" width="10.25" customWidth="1"/>
    <col min="8" max="8" width="18.5" customWidth="1"/>
    <col min="9" max="9" width="14" customWidth="1"/>
    <col min="10" max="10" width="13.75" customWidth="1"/>
    <col min="11" max="11" width="11.125" customWidth="1"/>
  </cols>
  <sheetData>
    <row r="1" ht="27.75" customHeight="1" spans="1:1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2" t="s">
        <v>2</v>
      </c>
      <c r="J1" s="2"/>
      <c r="K1" s="3"/>
    </row>
    <row r="2" spans="1:13">
      <c r="A2" s="4" t="s">
        <v>3</v>
      </c>
      <c r="B2" s="4"/>
      <c r="C2" s="4"/>
      <c r="D2" s="5" t="s">
        <v>4</v>
      </c>
      <c r="E2" s="4" t="s">
        <v>3</v>
      </c>
      <c r="F2" s="4"/>
      <c r="G2" s="4"/>
      <c r="H2" s="5" t="s">
        <v>5</v>
      </c>
      <c r="I2" s="2"/>
      <c r="J2" s="2"/>
      <c r="K2" s="6"/>
    </row>
    <row r="3" spans="1:13">
      <c r="A3" s="7" t="s">
        <v>6</v>
      </c>
      <c r="B3" s="4" t="s">
        <v>7</v>
      </c>
      <c r="C3" s="4" t="s">
        <v>8</v>
      </c>
      <c r="D3" s="1"/>
      <c r="E3" s="7" t="s">
        <v>6</v>
      </c>
      <c r="F3" s="4" t="s">
        <v>9</v>
      </c>
      <c r="G3" s="4" t="s">
        <v>10</v>
      </c>
      <c r="H3" s="1"/>
      <c r="I3" s="8"/>
      <c r="J3" s="8" t="s">
        <v>11</v>
      </c>
      <c r="K3" s="9" t="s">
        <v>12</v>
      </c>
    </row>
    <row r="4" spans="1:13">
      <c r="A4" s="7" t="s">
        <v>13</v>
      </c>
      <c r="B4" s="4" t="s">
        <v>14</v>
      </c>
      <c r="C4" s="4" t="s">
        <v>15</v>
      </c>
      <c r="D4" s="1"/>
      <c r="E4" s="7" t="s">
        <v>13</v>
      </c>
      <c r="F4" s="4" t="s">
        <v>16</v>
      </c>
      <c r="G4" s="4" t="s">
        <v>17</v>
      </c>
      <c r="H4" s="1"/>
      <c r="I4" s="8"/>
      <c r="J4" s="8"/>
      <c r="K4" s="9"/>
    </row>
    <row r="5" spans="1:13">
      <c r="B5" s="10" t="s">
        <v>18</v>
      </c>
      <c r="C5" s="10" t="s">
        <v>19</v>
      </c>
      <c r="D5" s="11">
        <f>ROW()-4</f>
        <v>1</v>
      </c>
      <c r="F5" s="10" t="s">
        <v>18</v>
      </c>
      <c r="G5" s="10" t="s">
        <v>20</v>
      </c>
      <c r="H5" s="11">
        <f>ROW()-4</f>
        <v>1</v>
      </c>
      <c r="I5" s="12" t="s">
        <v>21</v>
      </c>
      <c r="J5" s="12" t="s">
        <v>22</v>
      </c>
      <c r="K5" s="13" t="s">
        <v>23</v>
      </c>
    </row>
    <row r="6" spans="1:13">
      <c r="B6" s="4" t="s">
        <v>18</v>
      </c>
      <c r="C6" s="4" t="s">
        <v>24</v>
      </c>
      <c r="D6" s="14">
        <f t="shared" ref="D6:D66" si="0">ROW()-4</f>
        <v>2</v>
      </c>
      <c r="F6" s="4" t="s">
        <v>18</v>
      </c>
      <c r="G6" s="4" t="s">
        <v>25</v>
      </c>
      <c r="H6" s="14">
        <f t="shared" ref="H6:H36" si="1">ROW()-4</f>
        <v>2</v>
      </c>
      <c r="I6" s="12"/>
      <c r="J6" s="12" t="s">
        <v>26</v>
      </c>
      <c r="K6" s="13" t="s">
        <v>27</v>
      </c>
    </row>
    <row r="7" spans="1:13">
      <c r="B7" s="4" t="s">
        <v>18</v>
      </c>
      <c r="C7" s="4" t="s">
        <v>28</v>
      </c>
      <c r="D7" s="14">
        <f t="shared" si="0"/>
        <v>3</v>
      </c>
      <c r="F7" s="4" t="s">
        <v>18</v>
      </c>
      <c r="G7" s="4" t="s">
        <v>29</v>
      </c>
      <c r="H7" s="14">
        <f t="shared" si="1"/>
        <v>3</v>
      </c>
      <c r="I7" s="12" t="s">
        <v>30</v>
      </c>
      <c r="J7" s="12" t="s">
        <v>31</v>
      </c>
      <c r="K7" s="13" t="s">
        <v>32</v>
      </c>
    </row>
    <row r="8" spans="1:13">
      <c r="B8" s="4" t="s">
        <v>18</v>
      </c>
      <c r="C8" s="4" t="s">
        <v>20</v>
      </c>
      <c r="D8" s="14">
        <f t="shared" si="0"/>
        <v>4</v>
      </c>
      <c r="F8" s="4" t="s">
        <v>33</v>
      </c>
      <c r="G8" s="4" t="s">
        <v>18</v>
      </c>
      <c r="H8" s="14">
        <f t="shared" si="1"/>
        <v>4</v>
      </c>
      <c r="I8" s="12"/>
      <c r="J8" s="12" t="s">
        <v>34</v>
      </c>
      <c r="K8" s="13" t="s">
        <v>35</v>
      </c>
    </row>
    <row r="9" spans="1:13">
      <c r="B9" s="4" t="s">
        <v>18</v>
      </c>
      <c r="C9" s="4" t="s">
        <v>36</v>
      </c>
      <c r="D9" s="14">
        <f t="shared" si="0"/>
        <v>5</v>
      </c>
      <c r="F9" s="4" t="s">
        <v>33</v>
      </c>
      <c r="G9" s="10" t="s">
        <v>20</v>
      </c>
      <c r="H9" s="14">
        <f t="shared" si="1"/>
        <v>5</v>
      </c>
      <c r="I9" s="3" t="s">
        <v>37</v>
      </c>
      <c r="J9" s="3"/>
      <c r="K9" s="3" t="s">
        <v>38</v>
      </c>
    </row>
    <row r="10" spans="1:13">
      <c r="B10" s="4" t="s">
        <v>18</v>
      </c>
      <c r="C10" s="4" t="s">
        <v>39</v>
      </c>
      <c r="D10" s="14">
        <f t="shared" si="0"/>
        <v>6</v>
      </c>
      <c r="F10" s="4" t="s">
        <v>33</v>
      </c>
      <c r="G10" s="4" t="s">
        <v>25</v>
      </c>
      <c r="H10" s="14">
        <f t="shared" si="1"/>
        <v>6</v>
      </c>
      <c r="I10" s="3" t="s">
        <v>40</v>
      </c>
      <c r="J10" s="3"/>
      <c r="K10" s="3" t="s">
        <v>41</v>
      </c>
      <c r="L10" s="3"/>
      <c r="M10" s="3"/>
    </row>
    <row r="11" spans="1:13">
      <c r="B11" s="4" t="s">
        <v>18</v>
      </c>
      <c r="C11" s="4" t="s">
        <v>42</v>
      </c>
      <c r="D11" s="14">
        <f t="shared" si="0"/>
        <v>7</v>
      </c>
      <c r="F11" s="4" t="s">
        <v>33</v>
      </c>
      <c r="G11" s="4" t="s">
        <v>29</v>
      </c>
      <c r="H11" s="14">
        <f t="shared" si="1"/>
        <v>7</v>
      </c>
      <c r="I11" s="3" t="s">
        <v>43</v>
      </c>
      <c r="J11" s="3"/>
      <c r="K11" s="3" t="s">
        <v>44</v>
      </c>
      <c r="L11" s="3"/>
      <c r="M11" s="3"/>
    </row>
    <row r="12" spans="1:13">
      <c r="B12" s="4" t="s">
        <v>18</v>
      </c>
      <c r="C12" s="4" t="s">
        <v>25</v>
      </c>
      <c r="D12" s="14">
        <f t="shared" si="0"/>
        <v>8</v>
      </c>
      <c r="F12" s="4" t="s">
        <v>45</v>
      </c>
      <c r="G12" s="4" t="s">
        <v>18</v>
      </c>
      <c r="H12" s="14">
        <f t="shared" si="1"/>
        <v>8</v>
      </c>
      <c r="I12" s="3" t="s">
        <v>46</v>
      </c>
      <c r="J12" s="3"/>
      <c r="K12" s="3"/>
      <c r="L12" s="3"/>
      <c r="M12" s="3"/>
    </row>
    <row r="13" spans="1:13">
      <c r="B13" s="4" t="s">
        <v>18</v>
      </c>
      <c r="C13" s="4" t="s">
        <v>47</v>
      </c>
      <c r="D13" s="14">
        <f t="shared" si="0"/>
        <v>9</v>
      </c>
      <c r="F13" s="4" t="s">
        <v>45</v>
      </c>
      <c r="G13" s="10" t="s">
        <v>20</v>
      </c>
      <c r="H13" s="14">
        <f t="shared" si="1"/>
        <v>9</v>
      </c>
    </row>
    <row r="14" spans="1:13">
      <c r="B14" s="4" t="s">
        <v>18</v>
      </c>
      <c r="C14" s="4" t="s">
        <v>48</v>
      </c>
      <c r="D14" s="14">
        <f t="shared" si="0"/>
        <v>10</v>
      </c>
      <c r="F14" s="4" t="s">
        <v>45</v>
      </c>
      <c r="G14" s="4" t="s">
        <v>25</v>
      </c>
      <c r="H14" s="14">
        <f t="shared" si="1"/>
        <v>10</v>
      </c>
    </row>
    <row r="15" spans="1:13">
      <c r="B15" s="4" t="s">
        <v>18</v>
      </c>
      <c r="C15" s="4" t="s">
        <v>49</v>
      </c>
      <c r="D15" s="14">
        <f t="shared" si="0"/>
        <v>11</v>
      </c>
      <c r="F15" s="4" t="s">
        <v>45</v>
      </c>
      <c r="G15" s="4" t="s">
        <v>29</v>
      </c>
      <c r="H15" s="14">
        <f t="shared" si="1"/>
        <v>11</v>
      </c>
    </row>
    <row r="16" spans="1:13">
      <c r="B16" s="4" t="s">
        <v>18</v>
      </c>
      <c r="C16" s="4" t="s">
        <v>29</v>
      </c>
      <c r="D16" s="14">
        <f t="shared" si="0"/>
        <v>12</v>
      </c>
      <c r="F16" s="4" t="s">
        <v>50</v>
      </c>
      <c r="G16" s="4" t="s">
        <v>18</v>
      </c>
      <c r="H16" s="14">
        <f t="shared" si="1"/>
        <v>12</v>
      </c>
    </row>
    <row r="17" spans="2:8">
      <c r="B17" s="4" t="s">
        <v>18</v>
      </c>
      <c r="C17" s="4" t="s">
        <v>51</v>
      </c>
      <c r="D17" s="14">
        <f t="shared" si="0"/>
        <v>13</v>
      </c>
      <c r="F17" s="4" t="s">
        <v>50</v>
      </c>
      <c r="G17" s="10" t="s">
        <v>20</v>
      </c>
      <c r="H17" s="14">
        <f t="shared" si="1"/>
        <v>13</v>
      </c>
    </row>
    <row r="18" spans="2:8">
      <c r="B18" s="4" t="s">
        <v>18</v>
      </c>
      <c r="C18" s="4" t="s">
        <v>52</v>
      </c>
      <c r="D18" s="14">
        <f t="shared" si="0"/>
        <v>14</v>
      </c>
      <c r="F18" s="4" t="s">
        <v>50</v>
      </c>
      <c r="G18" s="4" t="s">
        <v>25</v>
      </c>
      <c r="H18" s="14">
        <f t="shared" si="1"/>
        <v>14</v>
      </c>
    </row>
    <row r="19" spans="2:8">
      <c r="B19" s="4" t="s">
        <v>18</v>
      </c>
      <c r="C19" s="4" t="s">
        <v>53</v>
      </c>
      <c r="D19" s="14">
        <f t="shared" si="0"/>
        <v>15</v>
      </c>
      <c r="F19" s="4" t="s">
        <v>50</v>
      </c>
      <c r="G19" s="4" t="s">
        <v>29</v>
      </c>
      <c r="H19" s="14">
        <f t="shared" si="1"/>
        <v>15</v>
      </c>
    </row>
    <row r="20" spans="2:8">
      <c r="B20" s="4" t="s">
        <v>33</v>
      </c>
      <c r="C20" s="4" t="s">
        <v>18</v>
      </c>
      <c r="D20" s="14">
        <f t="shared" si="0"/>
        <v>16</v>
      </c>
      <c r="F20" s="4" t="s">
        <v>54</v>
      </c>
      <c r="G20" s="4" t="s">
        <v>18</v>
      </c>
      <c r="H20" s="14">
        <f t="shared" si="1"/>
        <v>16</v>
      </c>
    </row>
    <row r="21" spans="2:8">
      <c r="B21" s="4" t="s">
        <v>33</v>
      </c>
      <c r="C21" s="4" t="s">
        <v>19</v>
      </c>
      <c r="D21" s="14">
        <f t="shared" si="0"/>
        <v>17</v>
      </c>
      <c r="F21" s="4" t="s">
        <v>54</v>
      </c>
      <c r="G21" s="10" t="s">
        <v>20</v>
      </c>
      <c r="H21" s="14">
        <f t="shared" si="1"/>
        <v>17</v>
      </c>
    </row>
    <row r="22" spans="2:8">
      <c r="B22" s="4" t="s">
        <v>33</v>
      </c>
      <c r="C22" s="4" t="s">
        <v>24</v>
      </c>
      <c r="D22" s="14">
        <f t="shared" si="0"/>
        <v>18</v>
      </c>
      <c r="F22" s="4" t="s">
        <v>54</v>
      </c>
      <c r="G22" s="4" t="s">
        <v>25</v>
      </c>
      <c r="H22" s="14">
        <f t="shared" si="1"/>
        <v>18</v>
      </c>
    </row>
    <row r="23" spans="2:8">
      <c r="B23" s="4" t="s">
        <v>33</v>
      </c>
      <c r="C23" s="4" t="s">
        <v>28</v>
      </c>
      <c r="D23" s="14">
        <f t="shared" si="0"/>
        <v>19</v>
      </c>
      <c r="F23" s="4" t="s">
        <v>54</v>
      </c>
      <c r="G23" s="4" t="s">
        <v>29</v>
      </c>
      <c r="H23" s="14">
        <f t="shared" si="1"/>
        <v>19</v>
      </c>
    </row>
    <row r="24" spans="2:8">
      <c r="B24" s="4" t="s">
        <v>33</v>
      </c>
      <c r="C24" s="4" t="s">
        <v>20</v>
      </c>
      <c r="D24" s="14">
        <f t="shared" si="0"/>
        <v>20</v>
      </c>
      <c r="F24" s="4" t="s">
        <v>55</v>
      </c>
      <c r="G24" s="4" t="s">
        <v>18</v>
      </c>
      <c r="H24" s="14">
        <f t="shared" si="1"/>
        <v>20</v>
      </c>
    </row>
    <row r="25" spans="2:8">
      <c r="B25" s="4" t="s">
        <v>33</v>
      </c>
      <c r="C25" s="4" t="s">
        <v>36</v>
      </c>
      <c r="D25" s="14">
        <f t="shared" si="0"/>
        <v>21</v>
      </c>
      <c r="F25" s="4" t="s">
        <v>55</v>
      </c>
      <c r="G25" s="10" t="s">
        <v>20</v>
      </c>
      <c r="H25" s="14">
        <f t="shared" si="1"/>
        <v>21</v>
      </c>
    </row>
    <row r="26" spans="2:8">
      <c r="B26" s="4" t="s">
        <v>33</v>
      </c>
      <c r="C26" s="4" t="s">
        <v>39</v>
      </c>
      <c r="D26" s="14">
        <f t="shared" si="0"/>
        <v>22</v>
      </c>
      <c r="F26" s="4" t="s">
        <v>55</v>
      </c>
      <c r="G26" s="4" t="s">
        <v>25</v>
      </c>
      <c r="H26" s="14">
        <f t="shared" si="1"/>
        <v>22</v>
      </c>
    </row>
    <row r="27" spans="2:8">
      <c r="B27" s="4" t="s">
        <v>33</v>
      </c>
      <c r="C27" s="4" t="s">
        <v>42</v>
      </c>
      <c r="D27" s="14">
        <f t="shared" si="0"/>
        <v>23</v>
      </c>
      <c r="F27" s="4" t="s">
        <v>55</v>
      </c>
      <c r="G27" s="4" t="s">
        <v>29</v>
      </c>
      <c r="H27" s="14">
        <f t="shared" si="1"/>
        <v>23</v>
      </c>
    </row>
    <row r="28" spans="2:8">
      <c r="B28" s="4" t="s">
        <v>33</v>
      </c>
      <c r="C28" s="4" t="s">
        <v>25</v>
      </c>
      <c r="D28" s="14">
        <f t="shared" si="0"/>
        <v>24</v>
      </c>
      <c r="F28" s="4" t="s">
        <v>56</v>
      </c>
      <c r="G28" s="4" t="s">
        <v>18</v>
      </c>
      <c r="H28" s="14">
        <f t="shared" si="1"/>
        <v>24</v>
      </c>
    </row>
    <row r="29" spans="2:8">
      <c r="B29" s="4" t="s">
        <v>33</v>
      </c>
      <c r="C29" s="4" t="s">
        <v>47</v>
      </c>
      <c r="D29" s="14">
        <f t="shared" si="0"/>
        <v>25</v>
      </c>
      <c r="F29" s="4" t="s">
        <v>56</v>
      </c>
      <c r="G29" s="10" t="s">
        <v>20</v>
      </c>
      <c r="H29" s="14">
        <f t="shared" si="1"/>
        <v>25</v>
      </c>
    </row>
    <row r="30" spans="2:8">
      <c r="B30" s="4" t="s">
        <v>33</v>
      </c>
      <c r="C30" s="4" t="s">
        <v>48</v>
      </c>
      <c r="D30" s="14">
        <f t="shared" si="0"/>
        <v>26</v>
      </c>
      <c r="F30" s="4" t="s">
        <v>56</v>
      </c>
      <c r="G30" s="4" t="s">
        <v>25</v>
      </c>
      <c r="H30" s="14">
        <f t="shared" si="1"/>
        <v>26</v>
      </c>
    </row>
    <row r="31" spans="2:8">
      <c r="B31" s="4" t="s">
        <v>33</v>
      </c>
      <c r="C31" s="4" t="s">
        <v>49</v>
      </c>
      <c r="D31" s="14">
        <f t="shared" si="0"/>
        <v>27</v>
      </c>
      <c r="F31" s="4" t="s">
        <v>56</v>
      </c>
      <c r="G31" s="4" t="s">
        <v>29</v>
      </c>
      <c r="H31" s="14">
        <f t="shared" si="1"/>
        <v>27</v>
      </c>
    </row>
    <row r="32" spans="2:8">
      <c r="B32" s="4" t="s">
        <v>33</v>
      </c>
      <c r="C32" s="4" t="s">
        <v>29</v>
      </c>
      <c r="D32" s="14">
        <f t="shared" si="0"/>
        <v>28</v>
      </c>
      <c r="F32" s="4" t="s">
        <v>57</v>
      </c>
      <c r="G32" s="4" t="s">
        <v>18</v>
      </c>
      <c r="H32" s="14">
        <f t="shared" si="1"/>
        <v>28</v>
      </c>
    </row>
    <row r="33" spans="2:8">
      <c r="B33" s="4" t="s">
        <v>33</v>
      </c>
      <c r="C33" s="4" t="s">
        <v>51</v>
      </c>
      <c r="D33" s="14">
        <f t="shared" si="0"/>
        <v>29</v>
      </c>
      <c r="F33" s="4" t="s">
        <v>57</v>
      </c>
      <c r="G33" s="10" t="s">
        <v>20</v>
      </c>
      <c r="H33" s="14">
        <f t="shared" si="1"/>
        <v>29</v>
      </c>
    </row>
    <row r="34" spans="2:8">
      <c r="B34" s="4" t="s">
        <v>33</v>
      </c>
      <c r="C34" s="4" t="s">
        <v>52</v>
      </c>
      <c r="D34" s="14">
        <f t="shared" si="0"/>
        <v>30</v>
      </c>
      <c r="F34" s="4" t="s">
        <v>57</v>
      </c>
      <c r="G34" s="4" t="s">
        <v>25</v>
      </c>
      <c r="H34" s="14">
        <f t="shared" si="1"/>
        <v>30</v>
      </c>
    </row>
    <row r="35" spans="2:8">
      <c r="B35" s="4" t="s">
        <v>33</v>
      </c>
      <c r="C35" s="4" t="s">
        <v>53</v>
      </c>
      <c r="D35" s="14">
        <f t="shared" si="0"/>
        <v>31</v>
      </c>
      <c r="F35" s="4" t="s">
        <v>57</v>
      </c>
      <c r="G35" s="4" t="s">
        <v>29</v>
      </c>
      <c r="H35" s="14">
        <f t="shared" si="1"/>
        <v>31</v>
      </c>
    </row>
    <row r="36" spans="2:8">
      <c r="B36" s="4" t="s">
        <v>45</v>
      </c>
      <c r="C36" s="4" t="s">
        <v>18</v>
      </c>
      <c r="D36" s="14">
        <f t="shared" si="0"/>
        <v>32</v>
      </c>
      <c r="E36" s="15"/>
      <c r="F36" s="4" t="s">
        <v>57</v>
      </c>
      <c r="G36" s="4" t="s">
        <v>58</v>
      </c>
      <c r="H36" s="14">
        <f t="shared" si="1"/>
        <v>32</v>
      </c>
    </row>
    <row r="37" spans="2:8">
      <c r="B37" s="4" t="s">
        <v>45</v>
      </c>
      <c r="C37" s="4" t="s">
        <v>19</v>
      </c>
      <c r="D37" s="14">
        <f t="shared" si="0"/>
        <v>33</v>
      </c>
      <c r="E37" s="16"/>
      <c r="F37" s="17"/>
      <c r="G37" s="17"/>
      <c r="H37" s="18"/>
    </row>
    <row r="38" spans="2:8">
      <c r="B38" s="4" t="s">
        <v>45</v>
      </c>
      <c r="C38" s="4" t="s">
        <v>24</v>
      </c>
      <c r="D38" s="14">
        <f t="shared" si="0"/>
        <v>34</v>
      </c>
      <c r="E38" s="16"/>
      <c r="F38" s="17"/>
      <c r="G38" s="17"/>
      <c r="H38" s="18"/>
    </row>
    <row r="39" spans="2:8">
      <c r="B39" s="4" t="s">
        <v>45</v>
      </c>
      <c r="C39" s="4" t="s">
        <v>28</v>
      </c>
      <c r="D39" s="14">
        <f t="shared" si="0"/>
        <v>35</v>
      </c>
      <c r="E39" s="16"/>
      <c r="F39" s="17"/>
      <c r="G39" s="17"/>
      <c r="H39" s="18"/>
    </row>
    <row r="40" spans="2:8">
      <c r="B40" s="4" t="s">
        <v>45</v>
      </c>
      <c r="C40" s="4" t="s">
        <v>20</v>
      </c>
      <c r="D40" s="14">
        <f t="shared" si="0"/>
        <v>36</v>
      </c>
      <c r="E40" s="16"/>
      <c r="F40" s="17"/>
      <c r="G40" s="17"/>
      <c r="H40" s="18"/>
    </row>
    <row r="41" spans="2:8">
      <c r="B41" s="4" t="s">
        <v>45</v>
      </c>
      <c r="C41" s="4" t="s">
        <v>36</v>
      </c>
      <c r="D41" s="14">
        <f t="shared" si="0"/>
        <v>37</v>
      </c>
      <c r="E41" s="16"/>
      <c r="F41" s="17"/>
      <c r="G41" s="17"/>
      <c r="H41" s="18"/>
    </row>
    <row r="42" spans="2:8">
      <c r="B42" s="4" t="s">
        <v>45</v>
      </c>
      <c r="C42" s="4" t="s">
        <v>39</v>
      </c>
      <c r="D42" s="14">
        <f t="shared" si="0"/>
        <v>38</v>
      </c>
      <c r="E42" s="16"/>
      <c r="F42" s="17"/>
      <c r="G42" s="17"/>
      <c r="H42" s="18"/>
    </row>
    <row r="43" spans="2:8">
      <c r="B43" s="4" t="s">
        <v>45</v>
      </c>
      <c r="C43" s="4" t="s">
        <v>42</v>
      </c>
      <c r="D43" s="14">
        <f t="shared" si="0"/>
        <v>39</v>
      </c>
      <c r="E43" s="16"/>
      <c r="F43" s="17"/>
      <c r="G43" s="17"/>
      <c r="H43" s="18"/>
    </row>
    <row r="44" spans="2:8">
      <c r="B44" s="4" t="s">
        <v>45</v>
      </c>
      <c r="C44" s="4" t="s">
        <v>25</v>
      </c>
      <c r="D44" s="14">
        <f t="shared" si="0"/>
        <v>40</v>
      </c>
      <c r="E44" s="16"/>
      <c r="F44" s="17"/>
      <c r="G44" s="17"/>
      <c r="H44" s="18"/>
    </row>
    <row r="45" spans="2:8">
      <c r="B45" s="4" t="s">
        <v>45</v>
      </c>
      <c r="C45" s="4" t="s">
        <v>47</v>
      </c>
      <c r="D45" s="14">
        <f t="shared" si="0"/>
        <v>41</v>
      </c>
      <c r="E45" s="16"/>
      <c r="F45" s="17"/>
      <c r="G45" s="17"/>
      <c r="H45" s="18"/>
    </row>
    <row r="46" spans="2:8">
      <c r="B46" s="4" t="s">
        <v>45</v>
      </c>
      <c r="C46" s="4" t="s">
        <v>48</v>
      </c>
      <c r="D46" s="14">
        <f t="shared" si="0"/>
        <v>42</v>
      </c>
      <c r="E46" s="16"/>
      <c r="F46" s="17"/>
      <c r="G46" s="17"/>
      <c r="H46" s="18"/>
    </row>
    <row r="47" spans="2:8">
      <c r="B47" s="4" t="s">
        <v>45</v>
      </c>
      <c r="C47" s="4" t="s">
        <v>49</v>
      </c>
      <c r="D47" s="14">
        <f t="shared" si="0"/>
        <v>43</v>
      </c>
      <c r="E47" s="16"/>
      <c r="F47" s="17"/>
      <c r="G47" s="17"/>
      <c r="H47" s="18"/>
    </row>
    <row r="48" spans="2:8">
      <c r="B48" s="4" t="s">
        <v>45</v>
      </c>
      <c r="C48" s="4" t="s">
        <v>29</v>
      </c>
      <c r="D48" s="14">
        <f t="shared" si="0"/>
        <v>44</v>
      </c>
      <c r="E48" s="16"/>
      <c r="F48" s="17"/>
      <c r="G48" s="17"/>
      <c r="H48" s="18"/>
    </row>
    <row r="49" spans="2:8">
      <c r="B49" s="4" t="s">
        <v>45</v>
      </c>
      <c r="C49" s="4" t="s">
        <v>51</v>
      </c>
      <c r="D49" s="14">
        <f t="shared" si="0"/>
        <v>45</v>
      </c>
      <c r="E49" s="16"/>
      <c r="F49" s="17"/>
      <c r="G49" s="17"/>
      <c r="H49" s="18"/>
    </row>
    <row r="50" spans="2:8">
      <c r="B50" s="4" t="s">
        <v>45</v>
      </c>
      <c r="C50" s="4" t="s">
        <v>52</v>
      </c>
      <c r="D50" s="14">
        <f t="shared" si="0"/>
        <v>46</v>
      </c>
      <c r="E50" s="16"/>
      <c r="F50" s="17"/>
      <c r="G50" s="17"/>
      <c r="H50" s="18"/>
    </row>
    <row r="51" spans="2:8">
      <c r="B51" s="4" t="s">
        <v>45</v>
      </c>
      <c r="C51" s="4" t="s">
        <v>53</v>
      </c>
      <c r="D51" s="14">
        <f t="shared" si="0"/>
        <v>47</v>
      </c>
      <c r="E51" s="16"/>
      <c r="F51" s="17"/>
      <c r="G51" s="17"/>
      <c r="H51" s="18"/>
    </row>
    <row r="52" spans="2:8">
      <c r="B52" s="4" t="s">
        <v>50</v>
      </c>
      <c r="C52" s="4" t="s">
        <v>18</v>
      </c>
      <c r="D52" s="14">
        <f t="shared" si="0"/>
        <v>48</v>
      </c>
      <c r="E52" s="16"/>
      <c r="F52" s="17"/>
      <c r="G52" s="17"/>
      <c r="H52" s="18"/>
    </row>
    <row r="53" spans="2:8">
      <c r="B53" s="4" t="s">
        <v>50</v>
      </c>
      <c r="C53" s="4" t="s">
        <v>19</v>
      </c>
      <c r="D53" s="14">
        <f t="shared" si="0"/>
        <v>49</v>
      </c>
      <c r="E53" s="16"/>
      <c r="F53" s="17"/>
      <c r="G53" s="17"/>
      <c r="H53" s="18"/>
    </row>
    <row r="54" spans="2:8">
      <c r="B54" s="4" t="s">
        <v>50</v>
      </c>
      <c r="C54" s="4" t="s">
        <v>24</v>
      </c>
      <c r="D54" s="14">
        <f t="shared" si="0"/>
        <v>50</v>
      </c>
      <c r="E54" s="16"/>
      <c r="F54" s="17"/>
      <c r="G54" s="17"/>
      <c r="H54" s="18"/>
    </row>
    <row r="55" spans="2:8">
      <c r="B55" s="4" t="s">
        <v>50</v>
      </c>
      <c r="C55" s="4" t="s">
        <v>28</v>
      </c>
      <c r="D55" s="14">
        <f t="shared" si="0"/>
        <v>51</v>
      </c>
      <c r="E55" s="16"/>
      <c r="F55" s="17"/>
      <c r="G55" s="17"/>
      <c r="H55" s="18"/>
    </row>
    <row r="56" spans="2:8">
      <c r="B56" s="4" t="s">
        <v>50</v>
      </c>
      <c r="C56" s="4" t="s">
        <v>20</v>
      </c>
      <c r="D56" s="14">
        <f t="shared" si="0"/>
        <v>52</v>
      </c>
      <c r="E56" s="16"/>
      <c r="F56" s="17"/>
      <c r="G56" s="17"/>
      <c r="H56" s="18"/>
    </row>
    <row r="57" spans="2:8">
      <c r="B57" s="4" t="s">
        <v>50</v>
      </c>
      <c r="C57" s="4" t="s">
        <v>36</v>
      </c>
      <c r="D57" s="14">
        <f t="shared" si="0"/>
        <v>53</v>
      </c>
      <c r="E57" s="16"/>
      <c r="F57" s="17"/>
      <c r="G57" s="17"/>
      <c r="H57" s="18"/>
    </row>
    <row r="58" spans="2:8">
      <c r="B58" s="4" t="s">
        <v>50</v>
      </c>
      <c r="C58" s="4" t="s">
        <v>39</v>
      </c>
      <c r="D58" s="14">
        <f t="shared" si="0"/>
        <v>54</v>
      </c>
      <c r="E58" s="16"/>
      <c r="F58" s="17"/>
      <c r="G58" s="17"/>
      <c r="H58" s="18"/>
    </row>
    <row r="59" spans="2:8">
      <c r="B59" s="4" t="s">
        <v>50</v>
      </c>
      <c r="C59" s="4" t="s">
        <v>42</v>
      </c>
      <c r="D59" s="14">
        <f t="shared" si="0"/>
        <v>55</v>
      </c>
      <c r="E59" s="16"/>
      <c r="F59" s="17"/>
      <c r="G59" s="17"/>
      <c r="H59" s="18"/>
    </row>
    <row r="60" spans="2:8">
      <c r="B60" s="4" t="s">
        <v>50</v>
      </c>
      <c r="C60" s="4" t="s">
        <v>25</v>
      </c>
      <c r="D60" s="14">
        <f t="shared" si="0"/>
        <v>56</v>
      </c>
      <c r="E60" s="16"/>
      <c r="F60" s="17"/>
      <c r="G60" s="17"/>
      <c r="H60" s="18"/>
    </row>
    <row r="61" spans="2:8">
      <c r="B61" s="4" t="s">
        <v>50</v>
      </c>
      <c r="C61" s="4" t="s">
        <v>47</v>
      </c>
      <c r="D61" s="14">
        <f t="shared" si="0"/>
        <v>57</v>
      </c>
      <c r="E61" s="16"/>
      <c r="F61" s="17"/>
      <c r="G61" s="17"/>
      <c r="H61" s="18"/>
    </row>
    <row r="62" spans="2:8">
      <c r="B62" s="4" t="s">
        <v>50</v>
      </c>
      <c r="C62" s="4" t="s">
        <v>48</v>
      </c>
      <c r="D62" s="14">
        <f t="shared" si="0"/>
        <v>58</v>
      </c>
      <c r="E62" s="16"/>
      <c r="F62" s="17"/>
      <c r="G62" s="17"/>
      <c r="H62" s="18"/>
    </row>
    <row r="63" spans="2:8">
      <c r="B63" s="4" t="s">
        <v>50</v>
      </c>
      <c r="C63" s="4" t="s">
        <v>49</v>
      </c>
      <c r="D63" s="14">
        <f t="shared" si="0"/>
        <v>59</v>
      </c>
      <c r="E63" s="16"/>
      <c r="F63" s="17"/>
      <c r="G63" s="17"/>
      <c r="H63" s="18"/>
    </row>
    <row r="64" spans="2:8">
      <c r="B64" s="4" t="s">
        <v>50</v>
      </c>
      <c r="C64" s="4" t="s">
        <v>29</v>
      </c>
      <c r="D64" s="14">
        <f t="shared" si="0"/>
        <v>60</v>
      </c>
      <c r="E64" s="16"/>
      <c r="F64" s="17"/>
      <c r="G64" s="17"/>
      <c r="H64" s="18"/>
    </row>
    <row r="65" spans="1:8">
      <c r="B65" s="4" t="s">
        <v>50</v>
      </c>
      <c r="C65" s="4" t="s">
        <v>51</v>
      </c>
      <c r="D65" s="14">
        <f t="shared" si="0"/>
        <v>61</v>
      </c>
      <c r="E65" s="16"/>
      <c r="F65" s="17"/>
      <c r="G65" s="17"/>
      <c r="H65" s="18"/>
    </row>
    <row r="66" spans="1:8">
      <c r="A66" s="19"/>
      <c r="B66" s="20" t="s">
        <v>50</v>
      </c>
      <c r="C66" s="4" t="s">
        <v>52</v>
      </c>
      <c r="D66" s="14">
        <f t="shared" si="0"/>
        <v>62</v>
      </c>
      <c r="E66" s="16"/>
      <c r="F66" s="17"/>
      <c r="G66" s="17"/>
      <c r="H66" s="18"/>
    </row>
  </sheetData>
  <mergeCells count="7">
    <mergeCell ref="A1:D1"/>
    <mergeCell ref="E1:H1"/>
    <mergeCell ref="A2:C2"/>
    <mergeCell ref="E2:G2"/>
    <mergeCell ref="D2:D4"/>
    <mergeCell ref="H2:H4"/>
    <mergeCell ref="I1:J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张鹏飞</cp:lastModifiedBy>
  <dcterms:created xsi:type="dcterms:W3CDTF">2015-06-05T18:19:00Z</dcterms:created>
  <dcterms:modified xsi:type="dcterms:W3CDTF">2026-03-23T12:14:43Z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D1E102B8B0F74CB99DCC11045D504652_12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